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xr:revisionPtr revIDLastSave="0" documentId="13_ncr:1_{0B5E1FFE-3899-4CD1-BD34-CBE15F60A4D4}"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cerca de" sheetId="12" r:id="rId2"/>
  </sheets>
  <definedNames>
    <definedName name="hoy" localSheetId="0">TODAY()</definedName>
    <definedName name="Inicio_del_proyecto">ProjectSchedule!$C$2</definedName>
    <definedName name="Semana_para_mostrar">ProjectSchedule!$C$3</definedName>
    <definedName name="task_end" localSheetId="0">ProjectSchedule!$D1</definedName>
    <definedName name="task_progress" localSheetId="0">ProjectSchedule!#REF!</definedName>
    <definedName name="task_start" localSheetId="0">ProjectSchedule!$C1</definedName>
    <definedName name="_xlnm.Print_Titles" localSheetId="0">ProjectSchedule!$2:$4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11" l="1"/>
  <c r="C6" i="11" l="1"/>
  <c r="D6" i="11" s="1"/>
  <c r="F3" i="11" l="1"/>
  <c r="F4" i="11" s="1"/>
  <c r="E9" i="11"/>
  <c r="E5" i="11"/>
  <c r="G3" i="11" l="1"/>
  <c r="H3" i="11" s="1"/>
  <c r="I3" i="11" s="1"/>
  <c r="J3" i="11" s="1"/>
  <c r="K3" i="11" s="1"/>
  <c r="L3" i="11" s="1"/>
  <c r="M3" i="11" s="1"/>
  <c r="F2" i="11"/>
  <c r="M2" i="11" l="1"/>
  <c r="N3" i="11"/>
  <c r="O3" i="11" s="1"/>
  <c r="P3" i="11" s="1"/>
  <c r="Q3" i="11" s="1"/>
  <c r="R3" i="11" s="1"/>
  <c r="S3" i="11" s="1"/>
  <c r="T3" i="11" s="1"/>
  <c r="G4" i="11"/>
  <c r="T2" i="11" l="1"/>
  <c r="U3" i="11"/>
  <c r="V3" i="11" s="1"/>
  <c r="W3" i="11" s="1"/>
  <c r="X3" i="11" s="1"/>
  <c r="Y3" i="11" s="1"/>
  <c r="Z3" i="11" s="1"/>
  <c r="AA3" i="11" s="1"/>
  <c r="H4" i="11"/>
  <c r="AB3" i="11" l="1"/>
  <c r="AC3" i="11" s="1"/>
  <c r="AD3" i="11" s="1"/>
  <c r="AE3" i="11" s="1"/>
  <c r="AF3" i="11" s="1"/>
  <c r="AG3" i="11" s="1"/>
  <c r="AA2" i="11"/>
  <c r="I4" i="11"/>
  <c r="AH3" i="11" l="1"/>
  <c r="AI3" i="11" s="1"/>
  <c r="AJ3" i="11" s="1"/>
  <c r="AK3" i="11" s="1"/>
  <c r="AL3" i="11" s="1"/>
  <c r="AM3" i="11" s="1"/>
  <c r="AN3" i="11" s="1"/>
  <c r="J4" i="11"/>
  <c r="AO3" i="11" l="1"/>
  <c r="AP3" i="11" s="1"/>
  <c r="AH2" i="11"/>
  <c r="K4" i="11"/>
  <c r="AQ3" i="11" l="1"/>
  <c r="AP4" i="11"/>
  <c r="AO2" i="11"/>
  <c r="L4" i="11"/>
  <c r="AR3" i="11" l="1"/>
  <c r="AQ4" i="11"/>
  <c r="AS3" i="11" l="1"/>
  <c r="AR4" i="11"/>
  <c r="M4" i="11"/>
  <c r="N4" i="11"/>
  <c r="AT3" i="11" l="1"/>
  <c r="AS4" i="11"/>
  <c r="O4" i="11"/>
  <c r="AU3" i="11" l="1"/>
  <c r="AV3" i="11" s="1"/>
  <c r="AT4" i="11"/>
  <c r="AW3" i="11" l="1"/>
  <c r="AV2" i="11"/>
  <c r="P4" i="11" s="1"/>
  <c r="AU4" i="11"/>
  <c r="Q4" i="11"/>
  <c r="AV4" i="11" l="1"/>
  <c r="AX3" i="11"/>
  <c r="AW4" i="11"/>
  <c r="R4" i="11"/>
  <c r="AX4" i="11" l="1"/>
  <c r="AY3" i="11"/>
  <c r="S4" i="11"/>
  <c r="AY4" i="11" l="1"/>
  <c r="AZ3" i="11"/>
  <c r="T4" i="11"/>
  <c r="AZ4" i="11" l="1"/>
  <c r="BA3" i="11"/>
  <c r="U4" i="11"/>
  <c r="BB3" i="11" l="1"/>
  <c r="BA4" i="11"/>
  <c r="V4" i="11"/>
  <c r="BB4" i="11" l="1"/>
  <c r="BC3" i="11"/>
  <c r="BC4" i="11" l="1"/>
  <c r="BD3" i="11"/>
  <c r="BC2" i="11"/>
  <c r="W4" i="11" s="1"/>
  <c r="X4" i="11"/>
  <c r="BD4" i="11" l="1"/>
  <c r="BE3" i="11"/>
  <c r="Y4" i="11"/>
  <c r="BF3" i="11" l="1"/>
  <c r="BE4" i="11"/>
  <c r="Z4" i="11"/>
  <c r="BG3" i="11" l="1"/>
  <c r="BF4" i="11"/>
  <c r="AA4" i="11"/>
  <c r="BH3" i="11" l="1"/>
  <c r="BG4" i="11"/>
  <c r="AB4" i="11"/>
  <c r="BI3" i="11" l="1"/>
  <c r="BH4" i="11"/>
  <c r="AC4" i="11"/>
  <c r="BI4" i="11" l="1"/>
  <c r="AD4" i="11"/>
  <c r="AE4" i="11" l="1"/>
  <c r="AF4" i="11" l="1"/>
  <c r="AG4" i="11" l="1"/>
  <c r="AH4" i="11" l="1"/>
  <c r="AI4" i="11" l="1"/>
  <c r="AJ4" i="11" l="1"/>
  <c r="AK4" i="11" l="1"/>
  <c r="AL4" i="11" l="1"/>
  <c r="AM4" i="11" l="1"/>
  <c r="AN4" i="11" l="1"/>
  <c r="AO4" i="11" l="1"/>
  <c r="C7" i="11" l="1"/>
  <c r="D7" i="11" l="1"/>
  <c r="D8" i="11" s="1"/>
  <c r="C10" i="11" s="1"/>
  <c r="D10" i="11" s="1"/>
  <c r="C11" i="11" s="1"/>
  <c r="D11" i="11" l="1"/>
  <c r="C12" i="11" s="1"/>
  <c r="D12" i="11" l="1"/>
  <c r="C13" i="11" s="1"/>
  <c r="D13" i="11" s="1"/>
  <c r="C14" i="11" s="1"/>
  <c r="D14" i="11" s="1"/>
  <c r="C16" i="11" s="1"/>
  <c r="D16" i="11" l="1"/>
  <c r="C18" i="11" s="1"/>
  <c r="D18" i="11" l="1"/>
  <c r="C20" i="11" s="1"/>
  <c r="D20" i="11" s="1"/>
  <c r="C22" i="11" s="1"/>
  <c r="D22" i="11" s="1"/>
  <c r="C24" i="11" s="1"/>
  <c r="D24" i="11" s="1"/>
  <c r="C25" i="11" l="1"/>
  <c r="D25" i="11" s="1"/>
</calcChain>
</file>

<file path=xl/sharedStrings.xml><?xml version="1.0" encoding="utf-8"?>
<sst xmlns="http://schemas.openxmlformats.org/spreadsheetml/2006/main" count="52" uniqueCount="50">
  <si>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</si>
  <si>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</si>
  <si>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</si>
  <si>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</si>
  <si>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</si>
  <si>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</si>
  <si>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</si>
  <si>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</si>
  <si>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</si>
  <si>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TAREA</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</si>
  <si>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</si>
  <si>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</si>
  <si>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</si>
  <si>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</si>
  <si>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</si>
  <si>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</si>
  <si>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</si>
  <si>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</si>
  <si>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</si>
  <si>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</si>
  <si>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</si>
  <si>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</si>
  <si>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</si>
  <si>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</si>
  <si>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</si>
  <si>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</si>
  <si>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</si>
  <si>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</si>
  <si>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Edición del proyecto</t>
  </si>
  <si>
    <t>Dia del proyecto</t>
  </si>
  <si>
    <t>Semana para mostrar</t>
  </si>
  <si>
    <t>Temporalización</t>
  </si>
  <si>
    <t>Diagrama de Gantt</t>
  </si>
  <si>
    <t>Lyfe Cycle</t>
  </si>
  <si>
    <t>Análisis</t>
  </si>
  <si>
    <t>Plantilla de word</t>
  </si>
  <si>
    <t>Diseño</t>
  </si>
  <si>
    <t>Implementación</t>
  </si>
  <si>
    <t>Testing</t>
  </si>
  <si>
    <t>Despliegue</t>
  </si>
  <si>
    <t>Manual de usuario</t>
  </si>
  <si>
    <t>Explicación app</t>
  </si>
  <si>
    <t>Tecnologías empleadas</t>
  </si>
  <si>
    <t>Explicación individual</t>
  </si>
  <si>
    <t>Popuestas de mejora</t>
  </si>
  <si>
    <t>Sugerencias</t>
  </si>
  <si>
    <t>Valoración personal</t>
  </si>
  <si>
    <t>Breve explicación</t>
  </si>
  <si>
    <t>Puntos a destacar</t>
  </si>
  <si>
    <t>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</si>
</sst>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 numFmtId="171" formatCode="ddd\,\ d/m/yyyy"/>
  </numFmts>
  <fonts count="3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color theme="1"/>
      <name val="Arial"/>
      <family val="2"/>
    </font>
    <font>
      <sz val="8"/>
      <color theme="0"/>
      <name val="Arial"/>
      <family val="2"/>
    </font>
    <font>
      <b/>
      <sz val="8"/>
      <color theme="1" tint="0.34998626667073579"/>
      <name val="Arial"/>
      <family val="2"/>
    </font>
    <font>
      <b/>
      <sz val="8"/>
      <name val="Arial"/>
      <family val="2"/>
    </font>
    <font>
      <sz val="8"/>
      <name val="Arial"/>
      <family val="2"/>
    </font>
    <font>
      <b/>
      <sz val="8"/>
      <color theme="0"/>
      <name val="Arial"/>
      <family val="2"/>
    </font>
    <font>
      <b/>
      <sz val="8"/>
      <color theme="1"/>
      <name val="Arial"/>
      <family val="2"/>
    </font>
  </fonts>
  <fills count="4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79998168889431442"/>
        <bgColor indexed="64"/>
      </patternFill>
    </fill>
  </fills>
  <borders count="2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4">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xf numFmtId="0" fontId="14" fillId="0" borderId="0"/>
    <xf numFmtId="165" fontId="5" fillId="0" borderId="3"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6" fontId="5" fillId="0" borderId="3">
      <alignment horizontal="center" vertical="center"/>
    </xf>
    <xf numFmtId="168" fontId="5" fillId="0" borderId="2" applyFill="0">
      <alignment horizontal="center" vertical="center"/>
    </xf>
    <xf numFmtId="0" fontId="5" fillId="0" borderId="2" applyFill="0">
      <alignment horizontal="center" vertical="center"/>
    </xf>
    <xf numFmtId="0" fontId="5" fillId="0" borderId="2" applyFill="0">
      <alignment horizontal="left" vertical="center" indent="2"/>
    </xf>
    <xf numFmtId="0" fontId="15" fillId="0" borderId="0" applyNumberForma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16" fillId="0" borderId="0" applyNumberFormat="0" applyFill="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20" fillId="16" borderId="11" applyNumberFormat="0" applyAlignment="0" applyProtection="0"/>
    <xf numFmtId="0" fontId="21" fillId="17" borderId="12" applyNumberFormat="0" applyAlignment="0" applyProtection="0"/>
    <xf numFmtId="0" fontId="22" fillId="17" borderId="11" applyNumberFormat="0" applyAlignment="0" applyProtection="0"/>
    <xf numFmtId="0" fontId="23" fillId="0" borderId="13" applyNumberFormat="0" applyFill="0" applyAlignment="0" applyProtection="0"/>
    <xf numFmtId="0" fontId="24" fillId="18" borderId="14" applyNumberFormat="0" applyAlignment="0" applyProtection="0"/>
    <xf numFmtId="0" fontId="25" fillId="0" borderId="0" applyNumberFormat="0" applyFill="0" applyBorder="0" applyAlignment="0" applyProtection="0"/>
    <xf numFmtId="0" fontId="5" fillId="19" borderId="15" applyNumberFormat="0" applyFont="0" applyAlignment="0" applyProtection="0"/>
    <xf numFmtId="0" fontId="26" fillId="0" borderId="0" applyNumberFormat="0" applyFill="0" applyBorder="0" applyAlignment="0" applyProtection="0"/>
    <xf numFmtId="0" fontId="4" fillId="0" borderId="16" applyNumberFormat="0" applyFill="0" applyAlignment="0" applyProtection="0"/>
    <xf numFmtId="0" fontId="14"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4"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4"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4"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14"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14"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cellStyleXfs>
  <cellXfs count="63">
    <xf numFmtId="0" fontId="0" fillId="0" borderId="0" xfId="0"/>
    <xf numFmtId="0" fontId="1" fillId="0" borderId="0" xfId="0" applyFont="1"/>
    <xf numFmtId="0" fontId="1"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13" fillId="0" borderId="0" xfId="0" applyFont="1" applyAlignment="1">
      <alignment vertical="center"/>
    </xf>
    <xf numFmtId="0" fontId="12" fillId="0" borderId="0" xfId="0" applyFont="1" applyAlignment="1">
      <alignment horizontal="left" vertical="top" wrapText="1" indent="1"/>
    </xf>
    <xf numFmtId="0" fontId="1" fillId="0" borderId="0" xfId="0" applyFont="1" applyAlignment="1">
      <alignment horizontal="left" vertical="top"/>
    </xf>
    <xf numFmtId="0" fontId="10"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3" fillId="0" borderId="0" xfId="0" applyFont="1" applyAlignment="1">
      <alignment vertical="top"/>
    </xf>
    <xf numFmtId="0" fontId="27" fillId="0" borderId="0" xfId="0" applyFont="1"/>
    <xf numFmtId="0" fontId="28" fillId="11" borderId="8" xfId="0" applyFont="1" applyFill="1" applyBorder="1" applyAlignment="1">
      <alignment horizontal="center" vertical="center" shrinkToFit="1"/>
    </xf>
    <xf numFmtId="0" fontId="28" fillId="0" borderId="0" xfId="3" applyFont="1"/>
    <xf numFmtId="0" fontId="29" fillId="0" borderId="0" xfId="5" applyFont="1" applyAlignment="1">
      <alignment horizontal="left"/>
    </xf>
    <xf numFmtId="0" fontId="27" fillId="0" borderId="0" xfId="0" applyFont="1" applyAlignment="1">
      <alignment horizontal="center"/>
    </xf>
    <xf numFmtId="0" fontId="28" fillId="0" borderId="0" xfId="3" applyFont="1" applyAlignment="1">
      <alignment wrapText="1"/>
    </xf>
    <xf numFmtId="0" fontId="30" fillId="0" borderId="17" xfId="0" applyFont="1" applyBorder="1" applyAlignment="1">
      <alignment horizontal="right" vertical="center"/>
    </xf>
    <xf numFmtId="0" fontId="30" fillId="0" borderId="19" xfId="0" applyFont="1" applyBorder="1" applyAlignment="1">
      <alignment horizontal="right" vertical="center"/>
    </xf>
    <xf numFmtId="0" fontId="27" fillId="0" borderId="20" xfId="0" applyFont="1" applyBorder="1" applyAlignment="1">
      <alignment horizontal="left" vertical="center"/>
    </xf>
    <xf numFmtId="0" fontId="27" fillId="0" borderId="10" xfId="0" applyFont="1" applyBorder="1"/>
    <xf numFmtId="169" fontId="31" fillId="6" borderId="6" xfId="0" applyNumberFormat="1" applyFont="1" applyFill="1" applyBorder="1" applyAlignment="1">
      <alignment horizontal="center" vertical="center"/>
    </xf>
    <xf numFmtId="169" fontId="31" fillId="6" borderId="0" xfId="0" applyNumberFormat="1" applyFont="1" applyFill="1" applyAlignment="1">
      <alignment horizontal="center" vertical="center"/>
    </xf>
    <xf numFmtId="169" fontId="31" fillId="6" borderId="7" xfId="0" applyNumberFormat="1" applyFont="1" applyFill="1" applyBorder="1" applyAlignment="1">
      <alignment horizontal="center" vertical="center"/>
    </xf>
    <xf numFmtId="0" fontId="32" fillId="12" borderId="0" xfId="0" applyFont="1" applyFill="1" applyAlignment="1">
      <alignment horizontal="left" vertical="center" indent="1"/>
    </xf>
    <xf numFmtId="0" fontId="32" fillId="12" borderId="0" xfId="0" applyFont="1" applyFill="1" applyAlignment="1">
      <alignment horizontal="center" vertical="center" wrapText="1"/>
    </xf>
    <xf numFmtId="0" fontId="32" fillId="12" borderId="1" xfId="0" applyFont="1" applyFill="1" applyBorder="1" applyAlignment="1">
      <alignment horizontal="center" vertical="center" wrapText="1"/>
    </xf>
    <xf numFmtId="0" fontId="33" fillId="7" borderId="2" xfId="0" applyFont="1" applyFill="1" applyBorder="1" applyAlignment="1">
      <alignment horizontal="left" vertical="center" indent="1"/>
    </xf>
    <xf numFmtId="168" fontId="27" fillId="7" borderId="2" xfId="0" applyNumberFormat="1" applyFont="1" applyFill="1" applyBorder="1" applyAlignment="1">
      <alignment horizontal="center" vertical="center"/>
    </xf>
    <xf numFmtId="168" fontId="31" fillId="7" borderId="2" xfId="0" applyNumberFormat="1" applyFont="1" applyFill="1" applyBorder="1" applyAlignment="1">
      <alignment horizontal="center" vertical="center"/>
    </xf>
    <xf numFmtId="0" fontId="31" fillId="0" borderId="2" xfId="0" applyFont="1" applyBorder="1" applyAlignment="1">
      <alignment horizontal="center" vertical="center"/>
    </xf>
    <xf numFmtId="0" fontId="27" fillId="0" borderId="9" xfId="0" applyFont="1" applyBorder="1" applyAlignment="1">
      <alignment vertical="center"/>
    </xf>
    <xf numFmtId="0" fontId="27" fillId="0" borderId="0" xfId="0" applyFont="1" applyAlignment="1">
      <alignment vertical="center"/>
    </xf>
    <xf numFmtId="0" fontId="27" fillId="2" borderId="2" xfId="12" applyFont="1" applyFill="1">
      <alignment horizontal="left" vertical="center" indent="2"/>
    </xf>
    <xf numFmtId="168" fontId="27" fillId="2" borderId="2" xfId="10" applyFont="1" applyFill="1">
      <alignment horizontal="center" vertical="center"/>
    </xf>
    <xf numFmtId="0" fontId="27" fillId="0" borderId="9" xfId="0" applyFont="1" applyBorder="1" applyAlignment="1">
      <alignment horizontal="right" vertical="center"/>
    </xf>
    <xf numFmtId="0" fontId="33" fillId="8" borderId="2" xfId="0" applyFont="1" applyFill="1" applyBorder="1" applyAlignment="1">
      <alignment horizontal="left" vertical="center" indent="1"/>
    </xf>
    <xf numFmtId="168" fontId="27" fillId="8" borderId="2" xfId="0" applyNumberFormat="1" applyFont="1" applyFill="1" applyBorder="1" applyAlignment="1">
      <alignment horizontal="center" vertical="center"/>
    </xf>
    <xf numFmtId="168" fontId="31" fillId="8" borderId="2" xfId="0" applyNumberFormat="1" applyFont="1" applyFill="1" applyBorder="1" applyAlignment="1">
      <alignment horizontal="center" vertical="center"/>
    </xf>
    <xf numFmtId="0" fontId="27" fillId="3" borderId="2" xfId="12" applyFont="1" applyFill="1">
      <alignment horizontal="left" vertical="center" indent="2"/>
    </xf>
    <xf numFmtId="168" fontId="27" fillId="3" borderId="2" xfId="10" applyFont="1" applyFill="1">
      <alignment horizontal="center" vertical="center"/>
    </xf>
    <xf numFmtId="0" fontId="33" fillId="5" borderId="2" xfId="0" applyFont="1" applyFill="1" applyBorder="1" applyAlignment="1">
      <alignment horizontal="left" vertical="center" indent="1"/>
    </xf>
    <xf numFmtId="168" fontId="27" fillId="5" borderId="2" xfId="0" applyNumberFormat="1" applyFont="1" applyFill="1" applyBorder="1" applyAlignment="1">
      <alignment horizontal="center" vertical="center"/>
    </xf>
    <xf numFmtId="168" fontId="31" fillId="5" borderId="2" xfId="0" applyNumberFormat="1" applyFont="1" applyFill="1" applyBorder="1" applyAlignment="1">
      <alignment horizontal="center" vertical="center"/>
    </xf>
    <xf numFmtId="0" fontId="27" fillId="10" borderId="2" xfId="12" applyFont="1" applyFill="1">
      <alignment horizontal="left" vertical="center" indent="2"/>
    </xf>
    <xf numFmtId="168" fontId="27" fillId="10" borderId="2" xfId="10" applyFont="1" applyFill="1">
      <alignment horizontal="center" vertical="center"/>
    </xf>
    <xf numFmtId="0" fontId="33" fillId="4" borderId="2" xfId="0" applyFont="1" applyFill="1" applyBorder="1" applyAlignment="1">
      <alignment horizontal="left" vertical="center" indent="1"/>
    </xf>
    <xf numFmtId="168" fontId="27" fillId="4" borderId="2" xfId="0" applyNumberFormat="1" applyFont="1" applyFill="1" applyBorder="1" applyAlignment="1">
      <alignment horizontal="center" vertical="center"/>
    </xf>
    <xf numFmtId="168" fontId="31" fillId="4" borderId="2" xfId="0" applyNumberFormat="1" applyFont="1" applyFill="1" applyBorder="1" applyAlignment="1">
      <alignment horizontal="center" vertical="center"/>
    </xf>
    <xf numFmtId="0" fontId="27" fillId="9" borderId="2" xfId="12" applyFont="1" applyFill="1">
      <alignment horizontal="left" vertical="center" indent="2"/>
    </xf>
    <xf numFmtId="168" fontId="27" fillId="9" borderId="2" xfId="10" applyFont="1" applyFill="1">
      <alignment horizontal="center" vertical="center"/>
    </xf>
    <xf numFmtId="0" fontId="28" fillId="0" borderId="0" xfId="0" applyFont="1" applyAlignment="1">
      <alignment horizontal="center"/>
    </xf>
    <xf numFmtId="167" fontId="33" fillId="6" borderId="4" xfId="0" applyNumberFormat="1" applyFont="1" applyFill="1" applyBorder="1" applyAlignment="1">
      <alignment horizontal="center" vertical="center" wrapText="1"/>
    </xf>
    <xf numFmtId="167" fontId="33" fillId="6" borderId="1" xfId="0" applyNumberFormat="1" applyFont="1" applyFill="1" applyBorder="1" applyAlignment="1">
      <alignment horizontal="center" vertical="center" wrapText="1"/>
    </xf>
    <xf numFmtId="167" fontId="33" fillId="6" borderId="5" xfId="0" applyNumberFormat="1" applyFont="1" applyFill="1" applyBorder="1" applyAlignment="1">
      <alignment horizontal="center" vertical="center" wrapText="1"/>
    </xf>
    <xf numFmtId="0" fontId="33" fillId="44" borderId="2" xfId="0" applyFont="1" applyFill="1" applyBorder="1" applyAlignment="1">
      <alignment horizontal="left" vertical="center" indent="1"/>
    </xf>
    <xf numFmtId="168" fontId="27" fillId="44" borderId="2" xfId="0" applyNumberFormat="1" applyFont="1" applyFill="1" applyBorder="1" applyAlignment="1">
      <alignment horizontal="center" vertical="center"/>
    </xf>
    <xf numFmtId="168" fontId="31" fillId="44" borderId="2" xfId="0" applyNumberFormat="1" applyFont="1" applyFill="1" applyBorder="1" applyAlignment="1">
      <alignment horizontal="center" vertical="center"/>
    </xf>
    <xf numFmtId="0" fontId="27" fillId="45" borderId="2" xfId="12" applyFont="1" applyFill="1">
      <alignment horizontal="left" vertical="center" indent="2"/>
    </xf>
    <xf numFmtId="168" fontId="27" fillId="45" borderId="2" xfId="10" applyFont="1" applyFill="1">
      <alignment horizontal="center" vertical="center"/>
    </xf>
    <xf numFmtId="171" fontId="27" fillId="0" borderId="18" xfId="9" applyNumberFormat="1" applyFont="1" applyBorder="1" applyAlignment="1">
      <alignment horizontal="left"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25">
    <dxf>
      <fill>
        <patternFill>
          <bgColor rgb="FFDF1995"/>
        </patternFill>
      </fill>
      <border>
        <left/>
        <right/>
      </border>
    </dxf>
    <dxf>
      <fill>
        <patternFill>
          <bgColor rgb="FF330072"/>
        </patternFill>
      </fill>
      <border>
        <left/>
        <right/>
      </border>
    </dxf>
    <dxf>
      <fill>
        <patternFill>
          <bgColor rgb="FFD92D83"/>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30072"/>
      <color rgb="FFDF1995"/>
      <color rgb="FFD92D83"/>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I27"/>
  <sheetViews>
    <sheetView showGridLines="0" tabSelected="1" showRuler="0" zoomScaleNormal="100" zoomScalePageLayoutView="70" workbookViewId="0">
      <pane ySplit="4" topLeftCell="A5" activePane="bottomLeft" state="frozen"/>
      <selection pane="bottomLeft" activeCell="S16" sqref="S16"/>
    </sheetView>
  </sheetViews>
  <sheetFormatPr baseColWidth="10" defaultColWidth="9.109375" defaultRowHeight="16.2" customHeight="1" x14ac:dyDescent="0.2"/>
  <cols>
    <col min="1" max="1" width="2.6640625" style="15" customWidth="1"/>
    <col min="2" max="2" width="19" style="13" bestFit="1" customWidth="1"/>
    <col min="3" max="3" width="9.109375" style="17" bestFit="1" customWidth="1"/>
    <col min="4" max="4" width="5.5546875" style="13" bestFit="1" customWidth="1"/>
    <col min="5" max="5" width="4.21875" style="13" bestFit="1" customWidth="1"/>
    <col min="6" max="12" width="2.44140625" style="13" customWidth="1"/>
    <col min="13" max="33" width="2.33203125" style="13" bestFit="1" customWidth="1"/>
    <col min="34" max="40" width="2.33203125" style="13" customWidth="1"/>
    <col min="41" max="41" width="1.5546875" style="13" bestFit="1" customWidth="1"/>
    <col min="42" max="43" width="2" style="13" bestFit="1" customWidth="1"/>
    <col min="44" max="61" width="2.33203125" style="13" bestFit="1" customWidth="1"/>
    <col min="62" max="16384" width="9.109375" style="13"/>
  </cols>
  <sheetData>
    <row r="1" spans="1:61" ht="16.2" customHeight="1" thickBot="1" x14ac:dyDescent="0.25">
      <c r="A1" s="15" t="s">
        <v>0</v>
      </c>
      <c r="B1" s="16"/>
    </row>
    <row r="2" spans="1:61" ht="16.2" customHeight="1" x14ac:dyDescent="0.2">
      <c r="A2" s="18" t="s">
        <v>1</v>
      </c>
      <c r="B2" s="19" t="s">
        <v>29</v>
      </c>
      <c r="C2" s="62">
        <v>45726</v>
      </c>
      <c r="F2" s="54">
        <f>F3</f>
        <v>45726</v>
      </c>
      <c r="G2" s="55"/>
      <c r="H2" s="55"/>
      <c r="I2" s="55"/>
      <c r="J2" s="55"/>
      <c r="K2" s="55"/>
      <c r="L2" s="56"/>
      <c r="M2" s="54">
        <f>M3</f>
        <v>45733</v>
      </c>
      <c r="N2" s="55"/>
      <c r="O2" s="55"/>
      <c r="P2" s="55"/>
      <c r="Q2" s="55"/>
      <c r="R2" s="55"/>
      <c r="S2" s="56"/>
      <c r="T2" s="54">
        <f>T3</f>
        <v>45740</v>
      </c>
      <c r="U2" s="55"/>
      <c r="V2" s="55"/>
      <c r="W2" s="55"/>
      <c r="X2" s="55"/>
      <c r="Y2" s="55"/>
      <c r="Z2" s="56"/>
      <c r="AA2" s="54">
        <f>AA3</f>
        <v>45747</v>
      </c>
      <c r="AB2" s="55"/>
      <c r="AC2" s="55"/>
      <c r="AD2" s="55"/>
      <c r="AE2" s="55"/>
      <c r="AF2" s="55"/>
      <c r="AG2" s="56"/>
      <c r="AH2" s="54">
        <f>AH3</f>
        <v>45754</v>
      </c>
      <c r="AI2" s="55"/>
      <c r="AJ2" s="55"/>
      <c r="AK2" s="55"/>
      <c r="AL2" s="55"/>
      <c r="AM2" s="55"/>
      <c r="AN2" s="56"/>
      <c r="AO2" s="54">
        <f>AO3</f>
        <v>45761</v>
      </c>
      <c r="AP2" s="55"/>
      <c r="AQ2" s="55"/>
      <c r="AR2" s="55"/>
      <c r="AS2" s="55"/>
      <c r="AT2" s="55"/>
      <c r="AU2" s="56"/>
      <c r="AV2" s="54">
        <f>AV3</f>
        <v>45768</v>
      </c>
      <c r="AW2" s="55"/>
      <c r="AX2" s="55"/>
      <c r="AY2" s="55"/>
      <c r="AZ2" s="55"/>
      <c r="BA2" s="55"/>
      <c r="BB2" s="56"/>
      <c r="BC2" s="54">
        <f>BC3</f>
        <v>45775</v>
      </c>
      <c r="BD2" s="55"/>
      <c r="BE2" s="55"/>
      <c r="BF2" s="55"/>
      <c r="BG2" s="55"/>
      <c r="BH2" s="55"/>
      <c r="BI2" s="56"/>
    </row>
    <row r="3" spans="1:61" ht="16.2" customHeight="1" thickBot="1" x14ac:dyDescent="0.25">
      <c r="A3" s="18" t="s">
        <v>2</v>
      </c>
      <c r="B3" s="20" t="s">
        <v>30</v>
      </c>
      <c r="C3" s="21">
        <v>1</v>
      </c>
      <c r="D3" s="22"/>
      <c r="F3" s="23">
        <f>Inicio_del_proyecto-WEEKDAY(Inicio_del_proyecto,1)+2+7*(Semana_para_mostrar-1)</f>
        <v>45726</v>
      </c>
      <c r="G3" s="24">
        <f>F3+1</f>
        <v>45727</v>
      </c>
      <c r="H3" s="24">
        <f t="shared" ref="H3:AU3" si="0">G3+1</f>
        <v>45728</v>
      </c>
      <c r="I3" s="24">
        <f t="shared" si="0"/>
        <v>45729</v>
      </c>
      <c r="J3" s="24">
        <f t="shared" si="0"/>
        <v>45730</v>
      </c>
      <c r="K3" s="24">
        <f t="shared" si="0"/>
        <v>45731</v>
      </c>
      <c r="L3" s="25">
        <f t="shared" si="0"/>
        <v>45732</v>
      </c>
      <c r="M3" s="23">
        <f>L3+1</f>
        <v>45733</v>
      </c>
      <c r="N3" s="24">
        <f>M3+1</f>
        <v>45734</v>
      </c>
      <c r="O3" s="24">
        <f t="shared" si="0"/>
        <v>45735</v>
      </c>
      <c r="P3" s="24">
        <f t="shared" si="0"/>
        <v>45736</v>
      </c>
      <c r="Q3" s="24">
        <f t="shared" si="0"/>
        <v>45737</v>
      </c>
      <c r="R3" s="24">
        <f t="shared" si="0"/>
        <v>45738</v>
      </c>
      <c r="S3" s="25">
        <f t="shared" si="0"/>
        <v>45739</v>
      </c>
      <c r="T3" s="23">
        <f>S3+1</f>
        <v>45740</v>
      </c>
      <c r="U3" s="24">
        <f>T3+1</f>
        <v>45741</v>
      </c>
      <c r="V3" s="24">
        <f t="shared" si="0"/>
        <v>45742</v>
      </c>
      <c r="W3" s="24">
        <f t="shared" si="0"/>
        <v>45743</v>
      </c>
      <c r="X3" s="24">
        <f t="shared" si="0"/>
        <v>45744</v>
      </c>
      <c r="Y3" s="24">
        <f t="shared" si="0"/>
        <v>45745</v>
      </c>
      <c r="Z3" s="25">
        <f t="shared" si="0"/>
        <v>45746</v>
      </c>
      <c r="AA3" s="23">
        <f>Z3+1</f>
        <v>45747</v>
      </c>
      <c r="AB3" s="24">
        <f>AA3+1</f>
        <v>45748</v>
      </c>
      <c r="AC3" s="24">
        <f t="shared" si="0"/>
        <v>45749</v>
      </c>
      <c r="AD3" s="24">
        <f t="shared" si="0"/>
        <v>45750</v>
      </c>
      <c r="AE3" s="24">
        <f t="shared" si="0"/>
        <v>45751</v>
      </c>
      <c r="AF3" s="24">
        <f t="shared" si="0"/>
        <v>45752</v>
      </c>
      <c r="AG3" s="25">
        <f t="shared" si="0"/>
        <v>45753</v>
      </c>
      <c r="AH3" s="23">
        <f>AG3+1</f>
        <v>45754</v>
      </c>
      <c r="AI3" s="24">
        <f>AH3+1</f>
        <v>45755</v>
      </c>
      <c r="AJ3" s="24">
        <f t="shared" si="0"/>
        <v>45756</v>
      </c>
      <c r="AK3" s="24">
        <f t="shared" si="0"/>
        <v>45757</v>
      </c>
      <c r="AL3" s="24">
        <f t="shared" si="0"/>
        <v>45758</v>
      </c>
      <c r="AM3" s="24">
        <f t="shared" si="0"/>
        <v>45759</v>
      </c>
      <c r="AN3" s="25">
        <f t="shared" si="0"/>
        <v>45760</v>
      </c>
      <c r="AO3" s="23">
        <f>AN3+1</f>
        <v>45761</v>
      </c>
      <c r="AP3" s="24">
        <f>AO3+1</f>
        <v>45762</v>
      </c>
      <c r="AQ3" s="24">
        <f t="shared" si="0"/>
        <v>45763</v>
      </c>
      <c r="AR3" s="24">
        <f t="shared" si="0"/>
        <v>45764</v>
      </c>
      <c r="AS3" s="24">
        <f t="shared" si="0"/>
        <v>45765</v>
      </c>
      <c r="AT3" s="24">
        <f t="shared" si="0"/>
        <v>45766</v>
      </c>
      <c r="AU3" s="25">
        <f t="shared" si="0"/>
        <v>45767</v>
      </c>
      <c r="AV3" s="23">
        <f>AU3+1</f>
        <v>45768</v>
      </c>
      <c r="AW3" s="24">
        <f>AV3+1</f>
        <v>45769</v>
      </c>
      <c r="AX3" s="24">
        <f t="shared" ref="AX3:BB3" si="1">AW3+1</f>
        <v>45770</v>
      </c>
      <c r="AY3" s="24">
        <f t="shared" si="1"/>
        <v>45771</v>
      </c>
      <c r="AZ3" s="24">
        <f t="shared" si="1"/>
        <v>45772</v>
      </c>
      <c r="BA3" s="24">
        <f t="shared" si="1"/>
        <v>45773</v>
      </c>
      <c r="BB3" s="25">
        <f t="shared" si="1"/>
        <v>45774</v>
      </c>
      <c r="BC3" s="23">
        <f>BB3+1</f>
        <v>45775</v>
      </c>
      <c r="BD3" s="24">
        <f>BC3+1</f>
        <v>45776</v>
      </c>
      <c r="BE3" s="24">
        <f t="shared" ref="BE3:BI3" si="2">BD3+1</f>
        <v>45777</v>
      </c>
      <c r="BF3" s="24">
        <f t="shared" si="2"/>
        <v>45778</v>
      </c>
      <c r="BG3" s="24">
        <f t="shared" si="2"/>
        <v>45779</v>
      </c>
      <c r="BH3" s="24">
        <f t="shared" si="2"/>
        <v>45780</v>
      </c>
      <c r="BI3" s="25">
        <f t="shared" si="2"/>
        <v>45781</v>
      </c>
    </row>
    <row r="4" spans="1:61" ht="16.2" customHeight="1" thickBot="1" x14ac:dyDescent="0.25">
      <c r="A4" s="18" t="s">
        <v>3</v>
      </c>
      <c r="B4" s="26" t="s">
        <v>9</v>
      </c>
      <c r="C4" s="27" t="s">
        <v>10</v>
      </c>
      <c r="D4" s="28" t="s">
        <v>11</v>
      </c>
      <c r="E4" s="28" t="s">
        <v>12</v>
      </c>
      <c r="F4" s="14" t="str">
        <f t="shared" ref="F4" si="3">LEFT(TEXT(F3,"ddd"),1)</f>
        <v>l</v>
      </c>
      <c r="G4" s="14" t="str">
        <f t="shared" ref="G4:AO4" si="4">LEFT(TEXT(G3,"ddd"),1)</f>
        <v>m</v>
      </c>
      <c r="H4" s="14" t="str">
        <f t="shared" si="4"/>
        <v>m</v>
      </c>
      <c r="I4" s="14" t="str">
        <f t="shared" si="4"/>
        <v>j</v>
      </c>
      <c r="J4" s="14" t="str">
        <f t="shared" si="4"/>
        <v>v</v>
      </c>
      <c r="K4" s="14" t="str">
        <f t="shared" si="4"/>
        <v>s</v>
      </c>
      <c r="L4" s="14" t="str">
        <f t="shared" si="4"/>
        <v>d</v>
      </c>
      <c r="M4" s="14" t="str">
        <f t="shared" si="4"/>
        <v>l</v>
      </c>
      <c r="N4" s="14" t="str">
        <f t="shared" si="4"/>
        <v>m</v>
      </c>
      <c r="O4" s="14" t="str">
        <f t="shared" si="4"/>
        <v>m</v>
      </c>
      <c r="P4" s="14" t="str">
        <f t="shared" si="4"/>
        <v>j</v>
      </c>
      <c r="Q4" s="14" t="str">
        <f t="shared" si="4"/>
        <v>v</v>
      </c>
      <c r="R4" s="14" t="str">
        <f t="shared" si="4"/>
        <v>s</v>
      </c>
      <c r="S4" s="14" t="str">
        <f t="shared" si="4"/>
        <v>d</v>
      </c>
      <c r="T4" s="14" t="str">
        <f t="shared" si="4"/>
        <v>l</v>
      </c>
      <c r="U4" s="14" t="str">
        <f t="shared" si="4"/>
        <v>m</v>
      </c>
      <c r="V4" s="14" t="str">
        <f t="shared" si="4"/>
        <v>m</v>
      </c>
      <c r="W4" s="14" t="str">
        <f t="shared" si="4"/>
        <v>j</v>
      </c>
      <c r="X4" s="14" t="str">
        <f t="shared" si="4"/>
        <v>v</v>
      </c>
      <c r="Y4" s="14" t="str">
        <f t="shared" si="4"/>
        <v>s</v>
      </c>
      <c r="Z4" s="14" t="str">
        <f t="shared" si="4"/>
        <v>d</v>
      </c>
      <c r="AA4" s="14" t="str">
        <f t="shared" si="4"/>
        <v>l</v>
      </c>
      <c r="AB4" s="14" t="str">
        <f t="shared" si="4"/>
        <v>m</v>
      </c>
      <c r="AC4" s="14" t="str">
        <f t="shared" si="4"/>
        <v>m</v>
      </c>
      <c r="AD4" s="14" t="str">
        <f t="shared" si="4"/>
        <v>j</v>
      </c>
      <c r="AE4" s="14" t="str">
        <f t="shared" si="4"/>
        <v>v</v>
      </c>
      <c r="AF4" s="14" t="str">
        <f t="shared" si="4"/>
        <v>s</v>
      </c>
      <c r="AG4" s="14" t="str">
        <f t="shared" si="4"/>
        <v>d</v>
      </c>
      <c r="AH4" s="14" t="str">
        <f t="shared" si="4"/>
        <v>l</v>
      </c>
      <c r="AI4" s="14" t="str">
        <f t="shared" si="4"/>
        <v>m</v>
      </c>
      <c r="AJ4" s="14" t="str">
        <f t="shared" si="4"/>
        <v>m</v>
      </c>
      <c r="AK4" s="14" t="str">
        <f t="shared" si="4"/>
        <v>j</v>
      </c>
      <c r="AL4" s="14" t="str">
        <f t="shared" si="4"/>
        <v>v</v>
      </c>
      <c r="AM4" s="14" t="str">
        <f t="shared" si="4"/>
        <v>s</v>
      </c>
      <c r="AN4" s="14" t="str">
        <f t="shared" si="4"/>
        <v>d</v>
      </c>
      <c r="AO4" s="14" t="str">
        <f t="shared" si="4"/>
        <v>l</v>
      </c>
      <c r="AP4" s="14" t="str">
        <f t="shared" ref="AP4:BI4" si="5">LEFT(TEXT(AP3,"ddd"),1)</f>
        <v>m</v>
      </c>
      <c r="AQ4" s="14" t="str">
        <f t="shared" si="5"/>
        <v>m</v>
      </c>
      <c r="AR4" s="14" t="str">
        <f t="shared" si="5"/>
        <v>j</v>
      </c>
      <c r="AS4" s="14" t="str">
        <f t="shared" si="5"/>
        <v>v</v>
      </c>
      <c r="AT4" s="14" t="str">
        <f t="shared" si="5"/>
        <v>s</v>
      </c>
      <c r="AU4" s="14" t="str">
        <f t="shared" si="5"/>
        <v>d</v>
      </c>
      <c r="AV4" s="14" t="str">
        <f t="shared" si="5"/>
        <v>l</v>
      </c>
      <c r="AW4" s="14" t="str">
        <f t="shared" si="5"/>
        <v>m</v>
      </c>
      <c r="AX4" s="14" t="str">
        <f t="shared" si="5"/>
        <v>m</v>
      </c>
      <c r="AY4" s="14" t="str">
        <f t="shared" si="5"/>
        <v>j</v>
      </c>
      <c r="AZ4" s="14" t="str">
        <f t="shared" si="5"/>
        <v>v</v>
      </c>
      <c r="BA4" s="14" t="str">
        <f t="shared" si="5"/>
        <v>s</v>
      </c>
      <c r="BB4" s="14" t="str">
        <f t="shared" si="5"/>
        <v>d</v>
      </c>
      <c r="BC4" s="14" t="str">
        <f t="shared" si="5"/>
        <v>l</v>
      </c>
      <c r="BD4" s="14" t="str">
        <f t="shared" si="5"/>
        <v>m</v>
      </c>
      <c r="BE4" s="14" t="str">
        <f t="shared" si="5"/>
        <v>m</v>
      </c>
      <c r="BF4" s="14" t="str">
        <f t="shared" si="5"/>
        <v>j</v>
      </c>
      <c r="BG4" s="14" t="str">
        <f t="shared" si="5"/>
        <v>v</v>
      </c>
      <c r="BH4" s="14" t="str">
        <f t="shared" si="5"/>
        <v>s</v>
      </c>
      <c r="BI4" s="14" t="str">
        <f t="shared" si="5"/>
        <v>d</v>
      </c>
    </row>
    <row r="5" spans="1:61" s="34" customFormat="1" ht="16.2" customHeight="1" thickBot="1" x14ac:dyDescent="0.25">
      <c r="A5" s="18" t="s">
        <v>4</v>
      </c>
      <c r="B5" s="29" t="s">
        <v>28</v>
      </c>
      <c r="C5" s="30"/>
      <c r="D5" s="31"/>
      <c r="E5" s="32" t="str">
        <f t="shared" ref="E5:E9" si="6">IF(OR(ISBLANK(task_start),ISBLANK(task_end)),"",task_end-task_start+1)</f>
        <v/>
      </c>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row>
    <row r="6" spans="1:61" s="34" customFormat="1" ht="16.2" customHeight="1" thickBot="1" x14ac:dyDescent="0.25">
      <c r="A6" s="18" t="s">
        <v>5</v>
      </c>
      <c r="B6" s="35" t="s">
        <v>35</v>
      </c>
      <c r="C6" s="36">
        <f>Inicio_del_proyecto</f>
        <v>45726</v>
      </c>
      <c r="D6" s="36">
        <f>C6+E6-1</f>
        <v>45727</v>
      </c>
      <c r="E6" s="32">
        <v>2</v>
      </c>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row>
    <row r="7" spans="1:61" s="34" customFormat="1" ht="16.2" customHeight="1" thickBot="1" x14ac:dyDescent="0.25">
      <c r="A7" s="18" t="s">
        <v>6</v>
      </c>
      <c r="B7" s="35" t="s">
        <v>31</v>
      </c>
      <c r="C7" s="36">
        <f>D6+1</f>
        <v>45728</v>
      </c>
      <c r="D7" s="36">
        <f>C7+E7-1</f>
        <v>45728</v>
      </c>
      <c r="E7" s="32">
        <v>1</v>
      </c>
      <c r="F7" s="33"/>
      <c r="G7" s="33"/>
      <c r="H7" s="33"/>
      <c r="I7" s="33"/>
      <c r="J7" s="33"/>
      <c r="K7" s="33"/>
      <c r="L7" s="33"/>
      <c r="M7" s="33"/>
      <c r="N7" s="33"/>
      <c r="O7" s="33"/>
      <c r="P7" s="33"/>
      <c r="Q7" s="33"/>
      <c r="R7" s="37"/>
      <c r="S7" s="37"/>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row>
    <row r="8" spans="1:61" s="34" customFormat="1" ht="16.2" customHeight="1" thickBot="1" x14ac:dyDescent="0.25">
      <c r="A8" s="15"/>
      <c r="B8" s="35" t="s">
        <v>32</v>
      </c>
      <c r="C8" s="36">
        <f>D7+1</f>
        <v>45729</v>
      </c>
      <c r="D8" s="36">
        <f>C8+E8-1</f>
        <v>45730</v>
      </c>
      <c r="E8" s="32">
        <v>2</v>
      </c>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row>
    <row r="9" spans="1:61" s="34" customFormat="1" ht="16.2" customHeight="1" thickBot="1" x14ac:dyDescent="0.25">
      <c r="A9" s="18" t="s">
        <v>7</v>
      </c>
      <c r="B9" s="38" t="s">
        <v>33</v>
      </c>
      <c r="C9" s="39"/>
      <c r="D9" s="40"/>
      <c r="E9" s="32" t="str">
        <f t="shared" si="6"/>
        <v/>
      </c>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row>
    <row r="10" spans="1:61" s="34" customFormat="1" ht="16.2" customHeight="1" thickBot="1" x14ac:dyDescent="0.25">
      <c r="A10" s="18"/>
      <c r="B10" s="41" t="s">
        <v>34</v>
      </c>
      <c r="C10" s="42">
        <f>D8+1</f>
        <v>45731</v>
      </c>
      <c r="D10" s="42">
        <f>C10+E10-1</f>
        <v>45737</v>
      </c>
      <c r="E10" s="32">
        <v>7</v>
      </c>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row>
    <row r="11" spans="1:61" s="34" customFormat="1" ht="16.2" customHeight="1" thickBot="1" x14ac:dyDescent="0.25">
      <c r="A11" s="15"/>
      <c r="B11" s="41" t="s">
        <v>36</v>
      </c>
      <c r="C11" s="42">
        <f>D10+1</f>
        <v>45738</v>
      </c>
      <c r="D11" s="42">
        <f>C11+E11-1</f>
        <v>45753</v>
      </c>
      <c r="E11" s="32">
        <v>16</v>
      </c>
      <c r="F11" s="33"/>
      <c r="G11" s="33"/>
      <c r="H11" s="33"/>
      <c r="I11" s="33"/>
      <c r="J11" s="33"/>
      <c r="K11" s="33"/>
      <c r="L11" s="33"/>
      <c r="M11" s="33"/>
      <c r="N11" s="33"/>
      <c r="O11" s="33"/>
      <c r="P11" s="33"/>
      <c r="Q11" s="33"/>
      <c r="R11" s="37"/>
      <c r="S11" s="37"/>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row>
    <row r="12" spans="1:61" s="34" customFormat="1" ht="16.2" customHeight="1" thickBot="1" x14ac:dyDescent="0.25">
      <c r="A12" s="15"/>
      <c r="B12" s="41" t="s">
        <v>37</v>
      </c>
      <c r="C12" s="42">
        <f t="shared" ref="C12:C14" si="7">D11+1</f>
        <v>45754</v>
      </c>
      <c r="D12" s="42">
        <f>C12+E12-1</f>
        <v>45760</v>
      </c>
      <c r="E12" s="32">
        <v>7</v>
      </c>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row>
    <row r="13" spans="1:61" s="34" customFormat="1" ht="16.2" customHeight="1" thickBot="1" x14ac:dyDescent="0.25">
      <c r="A13" s="15"/>
      <c r="B13" s="41" t="s">
        <v>38</v>
      </c>
      <c r="C13" s="42">
        <f t="shared" si="7"/>
        <v>45761</v>
      </c>
      <c r="D13" s="42">
        <f>C13+E13-1</f>
        <v>45767</v>
      </c>
      <c r="E13" s="32">
        <v>7</v>
      </c>
      <c r="F13" s="33"/>
      <c r="G13" s="33"/>
      <c r="H13" s="33"/>
      <c r="I13" s="33"/>
      <c r="J13" s="33"/>
      <c r="K13" s="33"/>
      <c r="L13" s="33"/>
      <c r="M13" s="33"/>
      <c r="N13" s="33"/>
      <c r="O13" s="33"/>
      <c r="P13" s="33"/>
      <c r="Q13" s="33"/>
      <c r="R13" s="33"/>
      <c r="S13" s="33"/>
      <c r="T13" s="33"/>
      <c r="U13" s="33"/>
      <c r="V13" s="37"/>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row>
    <row r="14" spans="1:61" s="34" customFormat="1" ht="16.2" customHeight="1" thickBot="1" x14ac:dyDescent="0.25">
      <c r="A14" s="15"/>
      <c r="B14" s="41" t="s">
        <v>39</v>
      </c>
      <c r="C14" s="42">
        <f t="shared" si="7"/>
        <v>45768</v>
      </c>
      <c r="D14" s="42">
        <f>C14+E14-1</f>
        <v>45770</v>
      </c>
      <c r="E14" s="32">
        <v>3</v>
      </c>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row>
    <row r="15" spans="1:61" s="34" customFormat="1" ht="16.2" customHeight="1" thickBot="1" x14ac:dyDescent="0.25">
      <c r="A15" s="15" t="s">
        <v>8</v>
      </c>
      <c r="B15" s="43" t="s">
        <v>40</v>
      </c>
      <c r="C15" s="44"/>
      <c r="D15" s="45"/>
      <c r="E15" s="32"/>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row>
    <row r="16" spans="1:61" s="34" customFormat="1" ht="16.2" customHeight="1" thickBot="1" x14ac:dyDescent="0.25">
      <c r="A16" s="15"/>
      <c r="B16" s="46" t="s">
        <v>41</v>
      </c>
      <c r="C16" s="47">
        <f>D14+1</f>
        <v>45771</v>
      </c>
      <c r="D16" s="47">
        <f>C16+E16-1</f>
        <v>45773</v>
      </c>
      <c r="E16" s="32">
        <v>3</v>
      </c>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row>
    <row r="17" spans="1:61" s="34" customFormat="1" ht="16.2" customHeight="1" thickBot="1" x14ac:dyDescent="0.25">
      <c r="A17" s="15" t="s">
        <v>8</v>
      </c>
      <c r="B17" s="48" t="s">
        <v>42</v>
      </c>
      <c r="C17" s="49"/>
      <c r="D17" s="50"/>
      <c r="E17" s="32"/>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row>
    <row r="18" spans="1:61" s="34" customFormat="1" ht="16.2" customHeight="1" thickBot="1" x14ac:dyDescent="0.25">
      <c r="A18" s="15"/>
      <c r="B18" s="51" t="s">
        <v>43</v>
      </c>
      <c r="C18" s="52">
        <f>D16+1</f>
        <v>45774</v>
      </c>
      <c r="D18" s="52">
        <f>C18+E18-1</f>
        <v>45776</v>
      </c>
      <c r="E18" s="32">
        <v>3</v>
      </c>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row>
    <row r="19" spans="1:61" s="34" customFormat="1" ht="16.2" customHeight="1" thickBot="1" x14ac:dyDescent="0.25">
      <c r="A19" s="15"/>
      <c r="B19" s="57" t="s">
        <v>44</v>
      </c>
      <c r="C19" s="58"/>
      <c r="D19" s="59"/>
      <c r="E19" s="32"/>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row>
    <row r="20" spans="1:61" s="34" customFormat="1" ht="16.2" customHeight="1" thickBot="1" x14ac:dyDescent="0.25">
      <c r="A20" s="15"/>
      <c r="B20" s="60" t="s">
        <v>45</v>
      </c>
      <c r="C20" s="61">
        <f>D18+1</f>
        <v>45777</v>
      </c>
      <c r="D20" s="61">
        <f>C20+E20-1</f>
        <v>45777</v>
      </c>
      <c r="E20" s="32">
        <v>1</v>
      </c>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row>
    <row r="21" spans="1:61" s="34" customFormat="1" ht="16.2" customHeight="1" thickBot="1" x14ac:dyDescent="0.25">
      <c r="A21" s="15"/>
      <c r="B21" s="29" t="s">
        <v>46</v>
      </c>
      <c r="C21" s="30"/>
      <c r="D21" s="31"/>
      <c r="E21" s="32"/>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row>
    <row r="22" spans="1:61" s="34" customFormat="1" ht="16.2" customHeight="1" thickBot="1" x14ac:dyDescent="0.25">
      <c r="A22" s="15"/>
      <c r="B22" s="35" t="s">
        <v>47</v>
      </c>
      <c r="C22" s="36">
        <f>D20+1</f>
        <v>45778</v>
      </c>
      <c r="D22" s="36">
        <f>C22+E22-1</f>
        <v>45778</v>
      </c>
      <c r="E22" s="32">
        <v>1</v>
      </c>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row>
    <row r="23" spans="1:61" s="34" customFormat="1" ht="16.2" customHeight="1" thickBot="1" x14ac:dyDescent="0.25">
      <c r="A23" s="15"/>
      <c r="B23" s="38" t="s">
        <v>48</v>
      </c>
      <c r="C23" s="39"/>
      <c r="D23" s="40"/>
      <c r="E23" s="32"/>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row>
    <row r="24" spans="1:61" s="34" customFormat="1" ht="16.2" customHeight="1" thickBot="1" x14ac:dyDescent="0.25">
      <c r="A24" s="15"/>
      <c r="B24" s="41" t="s">
        <v>34</v>
      </c>
      <c r="C24" s="42">
        <f>D22+1</f>
        <v>45779</v>
      </c>
      <c r="D24" s="42">
        <f>C24+E24-1</f>
        <v>45780</v>
      </c>
      <c r="E24" s="32">
        <v>2</v>
      </c>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row>
    <row r="25" spans="1:61" s="34" customFormat="1" ht="16.2" customHeight="1" thickBot="1" x14ac:dyDescent="0.25">
      <c r="A25" s="15"/>
      <c r="B25" s="41" t="s">
        <v>49</v>
      </c>
      <c r="C25" s="42">
        <f>D24+1</f>
        <v>45781</v>
      </c>
      <c r="D25" s="42">
        <f>C25+E25-1</f>
        <v>45781</v>
      </c>
      <c r="E25" s="32">
        <v>1</v>
      </c>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row>
    <row r="27" spans="1:61" ht="16.2" customHeight="1" x14ac:dyDescent="0.2">
      <c r="D27" s="53"/>
    </row>
  </sheetData>
  <mergeCells count="8">
    <mergeCell ref="BC2:BI2"/>
    <mergeCell ref="F2:L2"/>
    <mergeCell ref="M2:S2"/>
    <mergeCell ref="T2:Z2"/>
    <mergeCell ref="AA2:AG2"/>
    <mergeCell ref="AH2:AN2"/>
    <mergeCell ref="AO2:AU2"/>
    <mergeCell ref="AV2:BB2"/>
  </mergeCells>
  <conditionalFormatting sqref="F5:BI25">
    <cfRule type="expression" dxfId="1" priority="37" stopIfTrue="1">
      <formula>AND(F$3&gt;=task_start,F$3&lt;=task_end)</formula>
    </cfRule>
  </conditionalFormatting>
  <dataValidations count="1">
    <dataValidation type="whole" operator="greaterThanOrEqual" allowBlank="1" showInputMessage="1" promptTitle="Mostrar semana" prompt="Al cambiar este número, se desplazará la vista del diagrama de Gantt." sqref="C3"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2" customWidth="1"/>
    <col min="2" max="16384" width="9.109375" style="1"/>
  </cols>
  <sheetData>
    <row r="1" spans="1:2" ht="46.5" customHeight="1" x14ac:dyDescent="0.3"/>
    <row r="2" spans="1:2" s="4" customFormat="1" ht="15.6" x14ac:dyDescent="0.3">
      <c r="A2" s="3" t="s">
        <v>13</v>
      </c>
      <c r="B2" s="3"/>
    </row>
    <row r="3" spans="1:2" s="8" customFormat="1" ht="27" customHeight="1" x14ac:dyDescent="0.3">
      <c r="A3" s="12" t="s">
        <v>14</v>
      </c>
      <c r="B3" s="9"/>
    </row>
    <row r="4" spans="1:2" s="5" customFormat="1" ht="25.8" x14ac:dyDescent="0.5">
      <c r="A4" s="6" t="s">
        <v>15</v>
      </c>
    </row>
    <row r="5" spans="1:2" ht="74.099999999999994" customHeight="1" x14ac:dyDescent="0.3">
      <c r="A5" s="7" t="s">
        <v>16</v>
      </c>
    </row>
    <row r="6" spans="1:2" ht="26.25" customHeight="1" x14ac:dyDescent="0.3">
      <c r="A6" s="6" t="s">
        <v>17</v>
      </c>
    </row>
    <row r="7" spans="1:2" s="2" customFormat="1" ht="215.25" customHeight="1" x14ac:dyDescent="0.3">
      <c r="A7" s="11" t="s">
        <v>18</v>
      </c>
    </row>
    <row r="8" spans="1:2" s="5" customFormat="1" ht="25.8" x14ac:dyDescent="0.5">
      <c r="A8" s="6" t="s">
        <v>19</v>
      </c>
    </row>
    <row r="9" spans="1:2" ht="57.6" x14ac:dyDescent="0.3">
      <c r="A9" s="7" t="s">
        <v>20</v>
      </c>
    </row>
    <row r="10" spans="1:2" s="2" customFormat="1" ht="27.9" customHeight="1" x14ac:dyDescent="0.3">
      <c r="A10" s="10" t="s">
        <v>21</v>
      </c>
    </row>
    <row r="11" spans="1:2" s="5" customFormat="1" ht="25.8" x14ac:dyDescent="0.5">
      <c r="A11" s="6" t="s">
        <v>22</v>
      </c>
    </row>
    <row r="12" spans="1:2" ht="28.8" x14ac:dyDescent="0.3">
      <c r="A12" s="7" t="s">
        <v>23</v>
      </c>
    </row>
    <row r="13" spans="1:2" s="2" customFormat="1" ht="27.9" customHeight="1" x14ac:dyDescent="0.3">
      <c r="A13" s="10" t="s">
        <v>24</v>
      </c>
    </row>
    <row r="14" spans="1:2" s="5" customFormat="1" ht="25.8" x14ac:dyDescent="0.5">
      <c r="A14" s="6" t="s">
        <v>25</v>
      </c>
    </row>
    <row r="15" spans="1:2" ht="96.75" customHeight="1" x14ac:dyDescent="0.3">
      <c r="A15" s="7" t="s">
        <v>26</v>
      </c>
    </row>
    <row r="16" spans="1:2" ht="86.4" x14ac:dyDescent="0.3">
      <c r="A16" s="7" t="s">
        <v>27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5</vt:i4>
      </vt:variant>
    </vt:vector>
  </HeadingPairs>
  <TitlesOfParts>
    <vt:vector size="7" baseType="lpstr">
      <vt:lpstr>ProjectSchedule</vt:lpstr>
      <vt:lpstr>Acerca de</vt:lpstr>
      <vt:lpstr>Inicio_del_proyecto</vt:lpstr>
      <vt:lpstr>Semana_para_mostrar</vt:lpstr>
      <vt:lpstr>ProjectSchedule!task_end</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2025-03-28T19:28:41Z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